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Created_Day</t>
        </is>
      </c>
      <c r="G1" t="inlineStr">
        <is>
          <t>Closed_Day</t>
        </is>
      </c>
      <c r="H1" t="inlineStr">
        <is>
          <t>Same_Day?</t>
        </is>
      </c>
      <c r="I1" t="inlineStr">
        <is>
          <t>Created_Hour</t>
        </is>
      </c>
      <c r="J1" t="inlineStr">
        <is>
          <t>Closed_Hour</t>
        </is>
      </c>
      <c r="K1" t="inlineStr">
        <is>
          <t>Same_Hour?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INT(B2)</f>
        <v/>
      </c>
      <c r="G2">
        <f>INT(C2)</f>
        <v/>
      </c>
      <c r="H2">
        <f>F2=G2</f>
        <v/>
      </c>
      <c r="I2">
        <f>HOUR(B2)</f>
        <v/>
      </c>
      <c r="J2">
        <f>HOUR(C2)</f>
        <v/>
      </c>
      <c r="K2">
        <f>AND(F2=G2,I2=J2)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---</t>
        </is>
      </c>
      <c r="F3">
        <f>INT(B3)</f>
        <v/>
      </c>
      <c r="G3">
        <f>INT(C3)</f>
        <v/>
      </c>
      <c r="H3">
        <f>F3=G3</f>
        <v/>
      </c>
      <c r="I3">
        <f>HOUR(B3)</f>
        <v/>
      </c>
      <c r="J3">
        <f>HOUR(C3)</f>
        <v/>
      </c>
      <c r="K3">
        <f>AND(F3=G3,I3=J3)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VLOOKUP(A2, ticket!$E:$B, 2, 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 ID</t>
        </is>
      </c>
      <c r="B1" t="inlineStr">
        <is>
          <t>Same Day Count</t>
        </is>
      </c>
      <c r="C1" t="inlineStr">
        <is>
          <t>Same Hour Count</t>
        </is>
      </c>
    </row>
    <row r="2">
      <c r="A2" t="inlineStr">
        <is>
          <t>wrqy-juv-978</t>
        </is>
      </c>
      <c r="B2">
        <f>COUNTIFS(ticket!D:D,"wrqy-juv-978",ticket!H:H,TRUE)</f>
        <v/>
      </c>
      <c r="C2">
        <f>COUNTIFS(ticket!D:D,"wrqy-juv-978",ticket!K:K,TRUE)</f>
        <v/>
      </c>
    </row>
    <row r="3">
      <c r="A3" t="inlineStr">
        <is>
          <t>8woh-k3u-23b</t>
        </is>
      </c>
      <c r="B3">
        <f>COUNTIFS(ticket!D:D,"8woh-k3u-23b",ticket!H:H,TRUE)</f>
        <v/>
      </c>
      <c r="C3">
        <f>COUNTIFS(ticket!D:D,"8woh-k3u-23b",ticket!K:K,TRUE)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2025-12-02T17:04:46Z</dcterms:created>
  <dcterms:modified xmlns:dcterms="http://purl.org/dc/terms/" xmlns:xsi="http://www.w3.org/2001/XMLSchema-instance" xsi:type="dcterms:W3CDTF">2025-12-02T17:04:46Z</dcterms:modified>
</cp:coreProperties>
</file>