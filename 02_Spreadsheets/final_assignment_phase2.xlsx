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personal_things\Assignment\02_Spreadsheets\"/>
    </mc:Choice>
  </mc:AlternateContent>
  <xr:revisionPtr revIDLastSave="0" documentId="13_ncr:1_{6E113426-DAA4-40AD-849E-74B3629A10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cket" sheetId="1" r:id="rId1"/>
    <sheet name="feedback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K3" i="1" s="1"/>
  <c r="C3" i="3" s="1"/>
  <c r="F2" i="1"/>
  <c r="H2" i="1" s="1"/>
  <c r="B2" i="3" s="1"/>
  <c r="F3" i="1"/>
  <c r="D2" i="2"/>
  <c r="J3" i="1"/>
  <c r="G3" i="1"/>
  <c r="J2" i="1"/>
  <c r="G2" i="1"/>
  <c r="K2" i="1" l="1"/>
  <c r="C2" i="3" s="1"/>
  <c r="H3" i="1"/>
  <c r="B3" i="3" s="1"/>
</calcChain>
</file>

<file path=xl/sharedStrings.xml><?xml version="1.0" encoding="utf-8"?>
<sst xmlns="http://schemas.openxmlformats.org/spreadsheetml/2006/main" count="32" uniqueCount="28">
  <si>
    <t>ticket_id</t>
  </si>
  <si>
    <t>created_at</t>
  </si>
  <si>
    <t>closed_at</t>
  </si>
  <si>
    <t>outlet_id</t>
  </si>
  <si>
    <t>cms_id</t>
  </si>
  <si>
    <t>Created_Day</t>
  </si>
  <si>
    <t>Closed_Day</t>
  </si>
  <si>
    <t>Same_Day?</t>
  </si>
  <si>
    <t>Created_Hour</t>
  </si>
  <si>
    <t>Closed_Hour</t>
  </si>
  <si>
    <t>Same_Hour?</t>
  </si>
  <si>
    <t>isu-sjd-457</t>
  </si>
  <si>
    <t>2021-08-19 16:45:43</t>
  </si>
  <si>
    <t>2021-08-22 12:33:32</t>
  </si>
  <si>
    <t>wrqy-juv-978</t>
  </si>
  <si>
    <t>vew-iuvd-12</t>
  </si>
  <si>
    <t>qer-fal-092</t>
  </si>
  <si>
    <t>2021-08-21 11:09:22</t>
  </si>
  <si>
    <t>2021-08-21 17:13:45</t>
  </si>
  <si>
    <t>8woh-k3u-23b</t>
  </si>
  <si>
    <t>---</t>
  </si>
  <si>
    <t>feedback_at</t>
  </si>
  <si>
    <t>feedback_rating</t>
  </si>
  <si>
    <t>ticket_created_at</t>
  </si>
  <si>
    <t>2021-08-21 13:26:48</t>
  </si>
  <si>
    <t>Outlet ID</t>
  </si>
  <si>
    <t>Same Day Count</t>
  </si>
  <si>
    <t>Same Hour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</si>
</sst>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F7" sqref="F7"/>
    </sheetView>
  </sheetViews>
  <sheetFormatPr defaultRowHeight="14.4" x14ac:dyDescent="0.3"/>
  <cols>
    <col min="1" max="1" width="10.109375" bestFit="1" customWidth="1"/>
    <col min="2" max="3" width="18.109375" bestFit="1" customWidth="1"/>
    <col min="4" max="4" width="12.77734375" bestFit="1" customWidth="1"/>
    <col min="5" max="5" width="11" bestFit="1" customWidth="1"/>
    <col min="6" max="6" width="11.5546875" bestFit="1" customWidth="1"/>
    <col min="7" max="7" width="10.5546875" bestFit="1" customWidth="1"/>
    <col min="8" max="8" width="10.44140625" bestFit="1" customWidth="1"/>
    <col min="9" max="9" width="12.44140625" bestFit="1" customWidth="1"/>
    <col min="10" max="10" width="11.44140625" bestFit="1" customWidth="1"/>
    <col min="11" max="11" width="11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f>INT(B2)</f>
        <v>44427</v>
      </c>
      <c r="G2">
        <f>INT(C2)</f>
        <v>44430</v>
      </c>
      <c r="H2" t="b">
        <f>IF(F2=G2,TRUE,FALSE)</f>
        <v>0</v>
      </c>
      <c r="I2">
        <f>HOUR(B2)</f>
        <v>16</v>
      </c>
      <c r="J2">
        <f>HOUR(C2)</f>
        <v>12</v>
      </c>
      <c r="K2" t="b">
        <f>IF(AND(F2=G2,I2=J2),TRUE,FALSE)</f>
        <v>0</v>
      </c>
    </row>
    <row r="3" spans="1:11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f>INT(B3)</f>
        <v>44429</v>
      </c>
      <c r="G3">
        <f>INT(C3)</f>
        <v>44429</v>
      </c>
      <c r="H3" t="b">
        <f>IF(F3=G3,TRUE,FALSE)</f>
        <v>1</v>
      </c>
      <c r="I3">
        <f>HOUR(B3)</f>
        <v>11</v>
      </c>
      <c r="J3">
        <f>HOUR(C3)</f>
        <v>17</v>
      </c>
      <c r="K3" t="b">
        <f>IF(AND(F3=G3,I3=J3),TRUE,FALSE)</f>
        <v>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4" x14ac:dyDescent="0.3"/>
  <sheetData>
    <row r="1" spans="1:4" x14ac:dyDescent="0.3">
      <c r="A1" t="s">
        <v>4</v>
      </c>
      <c r="B1" t="s">
        <v>21</v>
      </c>
      <c r="C1" t="s">
        <v>22</v>
      </c>
      <c r="D1" t="s">
        <v>23</v>
      </c>
    </row>
    <row r="2" spans="1:4" x14ac:dyDescent="0.3">
      <c r="A2" t="s">
        <v>15</v>
      </c>
      <c r="B2" t="s">
        <v>24</v>
      </c>
      <c r="C2">
        <v>3</v>
      </c>
      <c r="D2" t="e">
        <f ca="1">_xludf.XLOOKUP(A2, ticket!E:E, ticket!B:B)</f>
        <v>#NAME?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4.4" x14ac:dyDescent="0.3"/>
  <sheetData>
    <row r="1" spans="1:3" x14ac:dyDescent="0.3">
      <c r="A1" t="s">
        <v>25</v>
      </c>
      <c r="B1" t="s">
        <v>26</v>
      </c>
      <c r="C1" t="s">
        <v>27</v>
      </c>
    </row>
    <row r="2" spans="1:3" x14ac:dyDescent="0.3">
      <c r="A2" t="s">
        <v>14</v>
      </c>
      <c r="B2">
        <f>COUNTIFS(ticket!D:D,"wrqy-juv-978",ticket!H:H,TRUE)</f>
        <v>0</v>
      </c>
      <c r="C2">
        <f>COUNTIFS(ticket!D:D,"wrqy-juv-978",ticket!K:K,TRUE)</f>
        <v>0</v>
      </c>
    </row>
    <row r="3" spans="1:3" x14ac:dyDescent="0.3">
      <c r="A3" t="s">
        <v>19</v>
      </c>
      <c r="B3">
        <f>COUNTIFS(ticket!D:D,"8woh-k3u-23b",ticket!H:H,TRUE)</f>
        <v>1</v>
      </c>
      <c r="C3">
        <f>COUNTIFS(ticket!D:D,"8woh-k3u-23b",ticket!K:K,TRUE)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kumar</cp:lastModifiedBy>
  <dcterms:created xsi:type="dcterms:W3CDTF">2025-12-02T15:51:26Z</dcterms:created>
  <dcterms:modified xsi:type="dcterms:W3CDTF">2025-12-02T16:51:09Z</dcterms:modified>
</cp:coreProperties>
</file>